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7b73a0fb8af9b2/Documents/"/>
    </mc:Choice>
  </mc:AlternateContent>
  <xr:revisionPtr revIDLastSave="136" documentId="8_{6747C261-FF5A-4F9F-870D-80FF193E1F41}" xr6:coauthVersionLast="47" xr6:coauthVersionMax="47" xr10:uidLastSave="{2237AFE5-EFD9-4C88-8D42-78E469CB4AFA}"/>
  <bookViews>
    <workbookView xWindow="-120" yWindow="-120" windowWidth="20730" windowHeight="11040" xr2:uid="{80B21A6A-014F-4583-B23C-42FEA6070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5" i="1" l="1"/>
  <c r="J34" i="1"/>
  <c r="J33" i="1"/>
  <c r="J31" i="1"/>
  <c r="J30" i="1"/>
  <c r="J29" i="1"/>
  <c r="J28" i="1"/>
  <c r="J27" i="1"/>
  <c r="J24" i="1"/>
  <c r="J23" i="1"/>
  <c r="J22" i="1"/>
  <c r="J21" i="1"/>
  <c r="J18" i="1"/>
  <c r="J17" i="1"/>
  <c r="J16" i="1"/>
  <c r="J12" i="1"/>
  <c r="J13" i="1"/>
  <c r="J11" i="1"/>
  <c r="J10" i="1"/>
  <c r="J9" i="1"/>
  <c r="J8" i="1"/>
  <c r="J4" i="1"/>
  <c r="I2" i="1"/>
</calcChain>
</file>

<file path=xl/sharedStrings.xml><?xml version="1.0" encoding="utf-8"?>
<sst xmlns="http://schemas.openxmlformats.org/spreadsheetml/2006/main" count="142" uniqueCount="45">
  <si>
    <t>Date</t>
  </si>
  <si>
    <t>Region</t>
  </si>
  <si>
    <t>Category</t>
  </si>
  <si>
    <t>Product</t>
  </si>
  <si>
    <t>Quantity</t>
  </si>
  <si>
    <t>Sales</t>
  </si>
  <si>
    <t>Profit</t>
  </si>
  <si>
    <t>Z01-01-2026</t>
  </si>
  <si>
    <t>South</t>
  </si>
  <si>
    <t>Electronics</t>
  </si>
  <si>
    <t>Laptop</t>
  </si>
  <si>
    <t>North</t>
  </si>
  <si>
    <t>Furniture</t>
  </si>
  <si>
    <t>Office Chair</t>
  </si>
  <si>
    <t>East</t>
  </si>
  <si>
    <t>Stationery</t>
  </si>
  <si>
    <t>Notebook</t>
  </si>
  <si>
    <t>West</t>
  </si>
  <si>
    <t>Mobile Phone</t>
  </si>
  <si>
    <t>Office Desk</t>
  </si>
  <si>
    <t>Pen Set</t>
  </si>
  <si>
    <t>Total Sales</t>
  </si>
  <si>
    <t>Total profit</t>
  </si>
  <si>
    <t>Average Sales</t>
  </si>
  <si>
    <t>Product Sales</t>
  </si>
  <si>
    <t>Office chair</t>
  </si>
  <si>
    <t>NoteBook</t>
  </si>
  <si>
    <t>Product Sales Chart</t>
  </si>
  <si>
    <t>Month</t>
  </si>
  <si>
    <t>January</t>
  </si>
  <si>
    <t>February</t>
  </si>
  <si>
    <t>March</t>
  </si>
  <si>
    <t>April</t>
  </si>
  <si>
    <t>May</t>
  </si>
  <si>
    <t>Total Profit</t>
  </si>
  <si>
    <t>Buisness Sales Performance Dashboard</t>
  </si>
  <si>
    <t>Key Sales Insights</t>
  </si>
  <si>
    <t>Electronics is the highest-selling category</t>
  </si>
  <si>
    <t>South is the top-performing region</t>
  </si>
  <si>
    <t>Total Sales is Rs.4786000</t>
  </si>
  <si>
    <t>Total profit is Rs.723500</t>
  </si>
  <si>
    <t>Recommendations</t>
  </si>
  <si>
    <t>Focus on increasing Electronics sales</t>
  </si>
  <si>
    <t>Improve sales in the East region</t>
  </si>
  <si>
    <t>Promote low-selling Stationery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</si>
</sst>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56108712217425"/>
          <c:y val="0.12748330955274886"/>
          <c:w val="0.82264475005140492"/>
          <c:h val="0.681461713258996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Sheet1!$I$7:$I$12</c:f>
              <c:strCache>
                <c:ptCount val="6"/>
                <c:pt idx="0">
                  <c:v>Laptop</c:v>
                </c:pt>
                <c:pt idx="1">
                  <c:v>Mobile Phone</c:v>
                </c:pt>
                <c:pt idx="2">
                  <c:v>Office Desk</c:v>
                </c:pt>
                <c:pt idx="3">
                  <c:v>Office chair</c:v>
                </c:pt>
                <c:pt idx="4">
                  <c:v>NoteBook</c:v>
                </c:pt>
                <c:pt idx="5">
                  <c:v>Pen Set</c:v>
                </c:pt>
              </c:strCache>
            </c:strRef>
          </c:cat>
          <c:val>
            <c:numRef>
              <c:f>Sheet1!$J$7:$J$12</c:f>
              <c:numCache>
                <c:formatCode>General</c:formatCode>
                <c:ptCount val="6"/>
                <c:pt idx="0">
                  <c:v>1950000</c:v>
                </c:pt>
                <c:pt idx="1">
                  <c:v>1680000</c:v>
                </c:pt>
                <c:pt idx="2">
                  <c:v>570000</c:v>
                </c:pt>
                <c:pt idx="3">
                  <c:v>475000</c:v>
                </c:pt>
                <c:pt idx="4">
                  <c:v>63000</c:v>
                </c:pt>
                <c:pt idx="5">
                  <c:v>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1-48D8-89B6-B1F574C5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676015"/>
        <c:axId val="431280335"/>
      </c:barChart>
      <c:catAx>
        <c:axId val="73067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80335"/>
        <c:crosses val="autoZero"/>
        <c:auto val="1"/>
        <c:lblAlgn val="ctr"/>
        <c:lblOffset val="100"/>
        <c:noMultiLvlLbl val="0"/>
      </c:catAx>
      <c:valAx>
        <c:axId val="43128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67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Sheet1!$J$26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Sheet1!$I$27:$I$31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Sheet1!$J$27:$J$31</c:f>
              <c:numCache>
                <c:formatCode>General</c:formatCode>
                <c:ptCount val="5"/>
                <c:pt idx="0">
                  <c:v>892000</c:v>
                </c:pt>
                <c:pt idx="1">
                  <c:v>916000</c:v>
                </c:pt>
                <c:pt idx="2">
                  <c:v>886000</c:v>
                </c:pt>
                <c:pt idx="3">
                  <c:v>837000</c:v>
                </c:pt>
                <c:pt idx="4">
                  <c:v>1005000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A-41EC-8290-6FD0A12B9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724255"/>
        <c:axId val="1174286191"/>
      </c:lineChart>
      <c:catAx>
        <c:axId val="66072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86191"/>
        <c:crosses val="autoZero"/>
        <c:auto val="1"/>
        <c:lblAlgn val="ctr"/>
        <c:lblOffset val="100"/>
        <c:noMultiLvlLbl val="0"/>
      </c:catAx>
      <c:valAx>
        <c:axId val="117428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7242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Sheet1!$J$20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Sheet1!$I$21:$I$24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Sheet1!$J$21:$J$24</c:f>
              <c:numCache>
                <c:formatCode>General</c:formatCode>
                <c:ptCount val="4"/>
                <c:pt idx="0">
                  <c:v>1501000</c:v>
                </c:pt>
                <c:pt idx="1">
                  <c:v>1382000</c:v>
                </c:pt>
                <c:pt idx="2">
                  <c:v>557000</c:v>
                </c:pt>
                <c:pt idx="3">
                  <c:v>1346000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5-4F6E-9D20-0DA56156E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7098015"/>
        <c:axId val="2088529615"/>
      </c:barChart>
      <c:catAx>
        <c:axId val="177709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29615"/>
        <c:crosses val="autoZero"/>
        <c:auto val="1"/>
        <c:lblAlgn val="ctr"/>
        <c:lblOffset val="100"/>
        <c:noMultiLvlLbl val="0"/>
      </c:catAx>
      <c:valAx>
        <c:axId val="208852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09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0</xdr:row>
      <xdr:rowOff>66675</xdr:rowOff>
    </xdr:from>
    <xdr:to>
      <xdr:col>17</xdr:col>
      <xdr:colOff>581025</xdr:colOff>
      <xdr:row>15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F8BE6F-49BF-4C96-0EA7-9FD888018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495300</xdr:colOff>
      <xdr:row>15</xdr:row>
      <xdr:rowOff>47624</xdr:rowOff>
    </xdr:from>
    <xdr:to>
      <xdr:col>17</xdr:col>
      <xdr:colOff>485774</xdr:colOff>
      <xdr:row>27</xdr:row>
      <xdr:rowOff>4761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06C02A-DED2-2C9C-0A00-9C66BCFED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66675</xdr:colOff>
      <xdr:row>28</xdr:row>
      <xdr:rowOff>23812</xdr:rowOff>
    </xdr:from>
    <xdr:to>
      <xdr:col>18</xdr:col>
      <xdr:colOff>371475</xdr:colOff>
      <xdr:row>42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11906-B816-E4E2-8F72-6E588E5C9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F4CC-1258-424F-9C69-41AA6B56CEFA}">
  <dimension ref="A1:J48"/>
  <sheetViews>
    <sheetView tabSelected="1" topLeftCell="A31" workbookViewId="0">
      <selection activeCell="I49" sqref="I49"/>
    </sheetView>
  </sheetViews>
  <sheetFormatPr defaultRowHeight="15" x14ac:dyDescent="0.25"/>
  <cols>
    <col min="1" max="1" width="14.5703125" customWidth="1"/>
    <col min="9" max="9" width="22.5703125" customWidth="1"/>
    <col min="10" max="10" width="17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21</v>
      </c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>
        <v>5</v>
      </c>
      <c r="F2">
        <v>250000</v>
      </c>
      <c r="G2">
        <v>30000</v>
      </c>
      <c r="I2">
        <f>SUM(F2:F31)</f>
        <v>4786000</v>
      </c>
    </row>
    <row r="3" spans="1:10" x14ac:dyDescent="0.25">
      <c r="A3" s="1">
        <v>46027</v>
      </c>
      <c r="B3" t="s">
        <v>11</v>
      </c>
      <c r="C3" t="s">
        <v>12</v>
      </c>
      <c r="D3" t="s">
        <v>13</v>
      </c>
      <c r="E3">
        <v>12</v>
      </c>
      <c r="F3">
        <v>60000</v>
      </c>
      <c r="G3">
        <v>12000</v>
      </c>
      <c r="I3" t="s">
        <v>22</v>
      </c>
    </row>
    <row r="4" spans="1:10" x14ac:dyDescent="0.25">
      <c r="A4" s="1">
        <v>46030</v>
      </c>
      <c r="B4" t="s">
        <v>14</v>
      </c>
      <c r="C4" t="s">
        <v>15</v>
      </c>
      <c r="D4" t="s">
        <v>16</v>
      </c>
      <c r="E4">
        <v>50</v>
      </c>
      <c r="F4">
        <v>15000</v>
      </c>
      <c r="G4">
        <v>4000</v>
      </c>
      <c r="I4" t="s">
        <v>23</v>
      </c>
      <c r="J4">
        <f>AVERAGE(F2:F31)</f>
        <v>159533.33333333334</v>
      </c>
    </row>
    <row r="5" spans="1:10" x14ac:dyDescent="0.25">
      <c r="A5" s="1">
        <v>46034</v>
      </c>
      <c r="B5" t="s">
        <v>17</v>
      </c>
      <c r="C5" t="s">
        <v>9</v>
      </c>
      <c r="D5" t="s">
        <v>18</v>
      </c>
      <c r="E5">
        <v>20</v>
      </c>
      <c r="F5">
        <v>300000</v>
      </c>
      <c r="G5">
        <v>45000</v>
      </c>
      <c r="I5" t="s">
        <v>23</v>
      </c>
    </row>
    <row r="6" spans="1:10" x14ac:dyDescent="0.25">
      <c r="A6" s="1">
        <v>46037</v>
      </c>
      <c r="B6" t="s">
        <v>8</v>
      </c>
      <c r="C6" t="s">
        <v>12</v>
      </c>
      <c r="D6" t="s">
        <v>19</v>
      </c>
      <c r="E6">
        <v>8</v>
      </c>
      <c r="F6">
        <v>80000</v>
      </c>
      <c r="G6">
        <v>16000</v>
      </c>
      <c r="I6" t="s">
        <v>24</v>
      </c>
      <c r="J6" t="s">
        <v>21</v>
      </c>
    </row>
    <row r="7" spans="1:10" x14ac:dyDescent="0.25">
      <c r="A7" s="1">
        <v>46042</v>
      </c>
      <c r="B7" t="s">
        <v>11</v>
      </c>
      <c r="C7" t="s">
        <v>9</v>
      </c>
      <c r="D7" t="s">
        <v>10</v>
      </c>
      <c r="E7">
        <v>7</v>
      </c>
      <c r="F7">
        <v>350000</v>
      </c>
      <c r="G7">
        <v>42000</v>
      </c>
      <c r="I7" t="s">
        <v>10</v>
      </c>
      <c r="J7">
        <v>1950000</v>
      </c>
    </row>
    <row r="8" spans="1:10" x14ac:dyDescent="0.25">
      <c r="A8" s="1">
        <v>46047</v>
      </c>
      <c r="B8" t="s">
        <v>14</v>
      </c>
      <c r="C8" t="s">
        <v>15</v>
      </c>
      <c r="D8" t="s">
        <v>20</v>
      </c>
      <c r="E8">
        <v>60</v>
      </c>
      <c r="F8">
        <v>12000</v>
      </c>
      <c r="G8">
        <v>3000</v>
      </c>
      <c r="I8" t="s">
        <v>18</v>
      </c>
      <c r="J8">
        <f>SUMIF($D$2:$D$31,I8,$F$2:$F$31)</f>
        <v>1680000</v>
      </c>
    </row>
    <row r="9" spans="1:10" x14ac:dyDescent="0.25">
      <c r="A9" s="1">
        <v>46050</v>
      </c>
      <c r="B9" t="s">
        <v>17</v>
      </c>
      <c r="C9" t="s">
        <v>12</v>
      </c>
      <c r="D9" t="s">
        <v>13</v>
      </c>
      <c r="E9">
        <v>15</v>
      </c>
      <c r="F9">
        <v>75000</v>
      </c>
      <c r="G9">
        <v>15000</v>
      </c>
      <c r="I9" t="s">
        <v>19</v>
      </c>
      <c r="J9">
        <f>SUMIF($D$2:$D$31,I9,$F$2:$F$31)</f>
        <v>570000</v>
      </c>
    </row>
    <row r="10" spans="1:10" x14ac:dyDescent="0.25">
      <c r="A10" s="1">
        <v>46056</v>
      </c>
      <c r="B10" t="s">
        <v>8</v>
      </c>
      <c r="C10" t="s">
        <v>9</v>
      </c>
      <c r="D10" t="s">
        <v>18</v>
      </c>
      <c r="E10">
        <v>18</v>
      </c>
      <c r="F10">
        <v>270000</v>
      </c>
      <c r="G10">
        <v>40500</v>
      </c>
      <c r="I10" t="s">
        <v>25</v>
      </c>
      <c r="J10">
        <f>SUMIF($D$2:$D$31,I10,$F$2:$F$31)</f>
        <v>475000</v>
      </c>
    </row>
    <row r="11" spans="1:10" x14ac:dyDescent="0.25">
      <c r="A11" s="1">
        <v>46060</v>
      </c>
      <c r="B11" t="s">
        <v>11</v>
      </c>
      <c r="C11" t="s">
        <v>12</v>
      </c>
      <c r="D11" t="s">
        <v>19</v>
      </c>
      <c r="E11">
        <v>10</v>
      </c>
      <c r="F11">
        <v>100000</v>
      </c>
      <c r="G11">
        <v>20000</v>
      </c>
      <c r="I11" t="s">
        <v>26</v>
      </c>
      <c r="J11">
        <f>SUMIF($D$2:$D$31,I11,$F$2:$F$31)</f>
        <v>63000</v>
      </c>
    </row>
    <row r="12" spans="1:10" x14ac:dyDescent="0.25">
      <c r="A12" s="1">
        <v>46064</v>
      </c>
      <c r="B12" t="s">
        <v>14</v>
      </c>
      <c r="C12" t="s">
        <v>9</v>
      </c>
      <c r="D12" t="s">
        <v>10</v>
      </c>
      <c r="E12">
        <v>4</v>
      </c>
      <c r="F12">
        <v>200000</v>
      </c>
      <c r="G12">
        <v>24000</v>
      </c>
      <c r="I12" t="s">
        <v>20</v>
      </c>
      <c r="J12">
        <f>SUMIF($D$2:$D$31,I12,$F$2:$F$31)</f>
        <v>48000</v>
      </c>
    </row>
    <row r="13" spans="1:10" x14ac:dyDescent="0.25">
      <c r="A13" s="1">
        <v>46069</v>
      </c>
      <c r="B13" t="s">
        <v>17</v>
      </c>
      <c r="C13" t="s">
        <v>15</v>
      </c>
      <c r="D13" t="s">
        <v>16</v>
      </c>
      <c r="E13">
        <v>70</v>
      </c>
      <c r="F13">
        <v>21000</v>
      </c>
      <c r="G13">
        <v>5500</v>
      </c>
      <c r="J13">
        <f>SUMIF($D$2:$D$31,I12,$F$2:$F$31)</f>
        <v>48000</v>
      </c>
    </row>
    <row r="14" spans="1:10" x14ac:dyDescent="0.25">
      <c r="A14" s="1">
        <v>46074</v>
      </c>
      <c r="B14" t="s">
        <v>8</v>
      </c>
      <c r="C14" t="s">
        <v>12</v>
      </c>
      <c r="D14" t="s">
        <v>13</v>
      </c>
      <c r="E14">
        <v>20</v>
      </c>
      <c r="F14">
        <v>100000</v>
      </c>
      <c r="G14">
        <v>20000</v>
      </c>
      <c r="I14" t="s">
        <v>27</v>
      </c>
    </row>
    <row r="15" spans="1:10" x14ac:dyDescent="0.25">
      <c r="A15" s="1">
        <v>46079</v>
      </c>
      <c r="B15" t="s">
        <v>11</v>
      </c>
      <c r="C15" t="s">
        <v>9</v>
      </c>
      <c r="D15" t="s">
        <v>18</v>
      </c>
      <c r="E15">
        <v>15</v>
      </c>
      <c r="F15">
        <v>225000</v>
      </c>
      <c r="G15">
        <v>33750</v>
      </c>
      <c r="I15" t="s">
        <v>2</v>
      </c>
      <c r="J15" t="s">
        <v>21</v>
      </c>
    </row>
    <row r="16" spans="1:10" x14ac:dyDescent="0.25">
      <c r="A16" s="1">
        <v>46083</v>
      </c>
      <c r="B16" t="s">
        <v>14</v>
      </c>
      <c r="C16" t="s">
        <v>12</v>
      </c>
      <c r="D16" t="s">
        <v>19</v>
      </c>
      <c r="E16">
        <v>6</v>
      </c>
      <c r="F16">
        <v>60000</v>
      </c>
      <c r="G16">
        <v>12000</v>
      </c>
      <c r="I16" t="s">
        <v>9</v>
      </c>
      <c r="J16">
        <f>SUMIF($C$2:$C$31,I16,$F$2:$F$31)</f>
        <v>3630000</v>
      </c>
    </row>
    <row r="17" spans="1:10" x14ac:dyDescent="0.25">
      <c r="A17" s="1">
        <v>46087</v>
      </c>
      <c r="B17" t="s">
        <v>17</v>
      </c>
      <c r="C17" t="s">
        <v>9</v>
      </c>
      <c r="D17" t="s">
        <v>10</v>
      </c>
      <c r="E17">
        <v>9</v>
      </c>
      <c r="F17">
        <v>450000</v>
      </c>
      <c r="G17">
        <v>54000</v>
      </c>
      <c r="I17" t="s">
        <v>12</v>
      </c>
      <c r="J17">
        <f>SUMIF($C$2:$C$31,I17,$F$2:$F$31)</f>
        <v>1045000</v>
      </c>
    </row>
    <row r="18" spans="1:10" x14ac:dyDescent="0.25">
      <c r="A18" s="1">
        <v>46091</v>
      </c>
      <c r="B18" t="s">
        <v>8</v>
      </c>
      <c r="C18" t="s">
        <v>15</v>
      </c>
      <c r="D18" t="s">
        <v>20</v>
      </c>
      <c r="E18">
        <v>80</v>
      </c>
      <c r="F18">
        <v>16000</v>
      </c>
      <c r="G18">
        <v>4000</v>
      </c>
      <c r="I18" t="s">
        <v>15</v>
      </c>
      <c r="J18">
        <f>SUMIF($C$2:$C$31,I18,$F$2:$F$31)</f>
        <v>111000</v>
      </c>
    </row>
    <row r="19" spans="1:10" x14ac:dyDescent="0.25">
      <c r="A19" s="1">
        <v>46096</v>
      </c>
      <c r="B19" t="s">
        <v>11</v>
      </c>
      <c r="C19" t="s">
        <v>12</v>
      </c>
      <c r="D19" t="s">
        <v>13</v>
      </c>
      <c r="E19">
        <v>18</v>
      </c>
      <c r="F19">
        <v>90000</v>
      </c>
      <c r="G19">
        <v>18000</v>
      </c>
    </row>
    <row r="20" spans="1:10" x14ac:dyDescent="0.25">
      <c r="A20" s="1">
        <v>46101</v>
      </c>
      <c r="B20" t="s">
        <v>14</v>
      </c>
      <c r="C20" t="s">
        <v>9</v>
      </c>
      <c r="D20" t="s">
        <v>18</v>
      </c>
      <c r="E20">
        <v>12</v>
      </c>
      <c r="F20">
        <v>180000</v>
      </c>
      <c r="G20">
        <v>27000</v>
      </c>
      <c r="I20" t="s">
        <v>1</v>
      </c>
      <c r="J20" t="s">
        <v>21</v>
      </c>
    </row>
    <row r="21" spans="1:10" x14ac:dyDescent="0.25">
      <c r="A21" s="1">
        <v>46106</v>
      </c>
      <c r="B21" t="s">
        <v>17</v>
      </c>
      <c r="C21" t="s">
        <v>12</v>
      </c>
      <c r="D21" t="s">
        <v>19</v>
      </c>
      <c r="E21">
        <v>9</v>
      </c>
      <c r="F21">
        <v>90000</v>
      </c>
      <c r="G21">
        <v>18000</v>
      </c>
      <c r="I21" t="s">
        <v>8</v>
      </c>
      <c r="J21">
        <f>SUMIF($B$2:$B$31,I21,$F$2:$F$31)</f>
        <v>1501000</v>
      </c>
    </row>
    <row r="22" spans="1:10" x14ac:dyDescent="0.25">
      <c r="A22" s="1">
        <v>46114</v>
      </c>
      <c r="B22" t="s">
        <v>8</v>
      </c>
      <c r="C22" t="s">
        <v>9</v>
      </c>
      <c r="D22" t="s">
        <v>10</v>
      </c>
      <c r="E22">
        <v>6</v>
      </c>
      <c r="F22">
        <v>300000</v>
      </c>
      <c r="G22">
        <v>36000</v>
      </c>
      <c r="I22" t="s">
        <v>11</v>
      </c>
      <c r="J22">
        <f>SUMIF($B$2:$B$31,I22,$F$2:$F$31)</f>
        <v>1382000</v>
      </c>
    </row>
    <row r="23" spans="1:10" x14ac:dyDescent="0.25">
      <c r="A23" s="1">
        <v>46119</v>
      </c>
      <c r="B23" t="s">
        <v>11</v>
      </c>
      <c r="C23" t="s">
        <v>15</v>
      </c>
      <c r="D23" t="s">
        <v>16</v>
      </c>
      <c r="E23">
        <v>90</v>
      </c>
      <c r="F23">
        <v>27000</v>
      </c>
      <c r="G23">
        <v>7000</v>
      </c>
      <c r="I23" t="s">
        <v>14</v>
      </c>
      <c r="J23">
        <f>SUMIF($B$2:$B$31,I23,$F$2:$F$31)</f>
        <v>557000</v>
      </c>
    </row>
    <row r="24" spans="1:10" x14ac:dyDescent="0.25">
      <c r="A24" s="1">
        <v>46124</v>
      </c>
      <c r="B24" t="s">
        <v>14</v>
      </c>
      <c r="C24" t="s">
        <v>12</v>
      </c>
      <c r="D24" t="s">
        <v>13</v>
      </c>
      <c r="E24">
        <v>14</v>
      </c>
      <c r="F24">
        <v>70000</v>
      </c>
      <c r="G24">
        <v>14000</v>
      </c>
      <c r="I24" t="s">
        <v>17</v>
      </c>
      <c r="J24">
        <f>SUMIF($B$2:$B$31,I24,$F$2:$F$31)</f>
        <v>1346000</v>
      </c>
    </row>
    <row r="25" spans="1:10" x14ac:dyDescent="0.25">
      <c r="A25" s="1">
        <v>46130</v>
      </c>
      <c r="B25" t="s">
        <v>17</v>
      </c>
      <c r="C25" t="s">
        <v>9</v>
      </c>
      <c r="D25" t="s">
        <v>18</v>
      </c>
      <c r="E25">
        <v>22</v>
      </c>
      <c r="F25">
        <v>330000</v>
      </c>
      <c r="G25">
        <v>49500</v>
      </c>
    </row>
    <row r="26" spans="1:10" x14ac:dyDescent="0.25">
      <c r="A26" s="1">
        <v>46136</v>
      </c>
      <c r="B26" t="s">
        <v>8</v>
      </c>
      <c r="C26" t="s">
        <v>12</v>
      </c>
      <c r="D26" t="s">
        <v>19</v>
      </c>
      <c r="E26">
        <v>11</v>
      </c>
      <c r="F26">
        <v>110000</v>
      </c>
      <c r="G26">
        <v>22000</v>
      </c>
      <c r="I26" t="s">
        <v>28</v>
      </c>
      <c r="J26" t="s">
        <v>21</v>
      </c>
    </row>
    <row r="27" spans="1:10" x14ac:dyDescent="0.25">
      <c r="A27" s="1">
        <v>46145</v>
      </c>
      <c r="B27" t="s">
        <v>11</v>
      </c>
      <c r="C27" t="s">
        <v>9</v>
      </c>
      <c r="D27" t="s">
        <v>10</v>
      </c>
      <c r="E27">
        <v>8</v>
      </c>
      <c r="F27">
        <v>400000</v>
      </c>
      <c r="G27">
        <v>48000</v>
      </c>
      <c r="I27" t="s">
        <v>29</v>
      </c>
      <c r="J27">
        <f>SUMIFS($F$2:$F$31,$A$2:$A$31,"&gt;="&amp;DATE(2026,1,1),$A$2:$A$31,"&lt;"&amp;DATE(2026,2,1))</f>
        <v>892000</v>
      </c>
    </row>
    <row r="28" spans="1:10" x14ac:dyDescent="0.25">
      <c r="A28" s="1">
        <v>46151</v>
      </c>
      <c r="B28" t="s">
        <v>14</v>
      </c>
      <c r="C28" t="s">
        <v>15</v>
      </c>
      <c r="D28" t="s">
        <v>20</v>
      </c>
      <c r="E28">
        <v>100</v>
      </c>
      <c r="F28">
        <v>20000</v>
      </c>
      <c r="G28">
        <v>5000</v>
      </c>
      <c r="I28" t="s">
        <v>30</v>
      </c>
      <c r="J28">
        <f>SUMIFS($F$2:$F$31,$A$2:$A$31,"&gt;="&amp;DATE(2026,2,1),$A$2:$A$31,"&lt;"&amp;DATE(2026,3,1))</f>
        <v>916000</v>
      </c>
    </row>
    <row r="29" spans="1:10" x14ac:dyDescent="0.25">
      <c r="A29" s="1">
        <v>46157</v>
      </c>
      <c r="B29" t="s">
        <v>17</v>
      </c>
      <c r="C29" t="s">
        <v>12</v>
      </c>
      <c r="D29" t="s">
        <v>13</v>
      </c>
      <c r="E29">
        <v>16</v>
      </c>
      <c r="F29">
        <v>80000</v>
      </c>
      <c r="G29">
        <v>16000</v>
      </c>
      <c r="I29" t="s">
        <v>31</v>
      </c>
      <c r="J29">
        <f>SUMIFS($F$2:$F$31,$A$2:$A$31,"&gt;="&amp;DATE(2026,3,1),$A$2:$A$31,"&lt;"&amp;DATE(2026,4,1))</f>
        <v>886000</v>
      </c>
    </row>
    <row r="30" spans="1:10" x14ac:dyDescent="0.25">
      <c r="A30" s="1">
        <v>46163</v>
      </c>
      <c r="B30" t="s">
        <v>8</v>
      </c>
      <c r="C30" t="s">
        <v>9</v>
      </c>
      <c r="D30" t="s">
        <v>18</v>
      </c>
      <c r="E30">
        <v>25</v>
      </c>
      <c r="F30">
        <v>375000</v>
      </c>
      <c r="G30">
        <v>56250</v>
      </c>
      <c r="I30" t="s">
        <v>32</v>
      </c>
      <c r="J30">
        <f>SUMIFS($F$2:$F$31,$A$2:$A$31,"&gt;="&amp;DATE(2026,4,1),$A$2:$A$31,"&lt;"&amp;DATE(2026,5,1))</f>
        <v>837000</v>
      </c>
    </row>
    <row r="31" spans="1:10" x14ac:dyDescent="0.25">
      <c r="A31" s="1">
        <v>46170</v>
      </c>
      <c r="B31" t="s">
        <v>11</v>
      </c>
      <c r="C31" t="s">
        <v>12</v>
      </c>
      <c r="D31" t="s">
        <v>19</v>
      </c>
      <c r="E31">
        <v>13</v>
      </c>
      <c r="F31">
        <v>130000</v>
      </c>
      <c r="G31">
        <v>26000</v>
      </c>
      <c r="I31" t="s">
        <v>33</v>
      </c>
      <c r="J31">
        <f>SUMIFS($F$2:$F$31,$A$2:$A$31,"&gt;="&amp;DATE(2026,5,1),$A$2:$A$31,"&lt;"&amp;DATE(2026,6,1))</f>
        <v>1005000</v>
      </c>
    </row>
    <row r="33" spans="8:10" x14ac:dyDescent="0.25">
      <c r="I33" t="s">
        <v>21</v>
      </c>
      <c r="J33">
        <f>SUM(F2:F31)</f>
        <v>4786000</v>
      </c>
    </row>
    <row r="34" spans="8:10" x14ac:dyDescent="0.25">
      <c r="I34" t="s">
        <v>34</v>
      </c>
      <c r="J34">
        <f>SUM(G2:G31)</f>
        <v>723500</v>
      </c>
    </row>
    <row r="35" spans="8:10" x14ac:dyDescent="0.25">
      <c r="I35" t="s">
        <v>23</v>
      </c>
      <c r="J35">
        <f>AVERAGE(F2:F31)</f>
        <v>159533.33333333334</v>
      </c>
    </row>
    <row r="37" spans="8:10" ht="21" x14ac:dyDescent="0.35">
      <c r="I37" s="2" t="s">
        <v>35</v>
      </c>
    </row>
    <row r="38" spans="8:10" ht="21" x14ac:dyDescent="0.35">
      <c r="H38" s="2"/>
    </row>
    <row r="39" spans="8:10" x14ac:dyDescent="0.25">
      <c r="I39" t="s">
        <v>36</v>
      </c>
    </row>
    <row r="40" spans="8:10" x14ac:dyDescent="0.25">
      <c r="I40" t="s">
        <v>37</v>
      </c>
    </row>
    <row r="41" spans="8:10" x14ac:dyDescent="0.25">
      <c r="I41" t="s">
        <v>38</v>
      </c>
    </row>
    <row r="42" spans="8:10" x14ac:dyDescent="0.25">
      <c r="I42" t="s">
        <v>39</v>
      </c>
    </row>
    <row r="43" spans="8:10" x14ac:dyDescent="0.25">
      <c r="I43" t="s">
        <v>40</v>
      </c>
    </row>
    <row r="45" spans="8:10" x14ac:dyDescent="0.25">
      <c r="I45" t="s">
        <v>41</v>
      </c>
    </row>
    <row r="46" spans="8:10" x14ac:dyDescent="0.25">
      <c r="I46" t="s">
        <v>42</v>
      </c>
    </row>
    <row r="47" spans="8:10" x14ac:dyDescent="0.25">
      <c r="I47" t="s">
        <v>43</v>
      </c>
    </row>
    <row r="48" spans="8:10" x14ac:dyDescent="0.25">
      <c r="I48" t="s">
        <v>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M</dc:creator>
  <cp:lastModifiedBy>Rajalakshmi M</cp:lastModifiedBy>
  <dcterms:created xsi:type="dcterms:W3CDTF">2026-10-05T16:25:46Z</dcterms:created>
  <dcterms:modified xsi:type="dcterms:W3CDTF">2026-10-09T14:33:42Z</dcterms:modified>
</cp:coreProperties>
</file>