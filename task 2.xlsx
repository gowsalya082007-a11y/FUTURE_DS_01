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7b73a0fb8af9b2/Documents/"/>
    </mc:Choice>
  </mc:AlternateContent>
  <xr:revisionPtr revIDLastSave="176" documentId="8_{E5650CA9-FFDC-4312-8924-5A31574C2889}" xr6:coauthVersionLast="47" xr6:coauthVersionMax="47" xr10:uidLastSave="{68514E6F-9833-4D77-A416-CA6659E2D4AD}"/>
  <bookViews>
    <workbookView xWindow="-120" yWindow="-120" windowWidth="20730" windowHeight="11040" xr2:uid="{D40DB232-1DCE-4278-8D5B-0E4528E9CE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" i="1" l="1"/>
  <c r="M4" i="1"/>
  <c r="M3" i="1"/>
  <c r="M2" i="1"/>
  <c r="G3" i="1"/>
  <c r="G4" i="1"/>
  <c r="G5" i="1"/>
  <c r="G6" i="1"/>
  <c r="G7" i="1"/>
  <c r="G8" i="1"/>
  <c r="G9" i="1"/>
  <c r="G10" i="1"/>
  <c r="G11" i="1"/>
  <c r="G2" i="1"/>
  <c r="H2" i="1"/>
</calcChain>
</file>

<file path=xl/sharedStrings.xml><?xml version="1.0" encoding="utf-8"?>
<sst xmlns="http://schemas.openxmlformats.org/spreadsheetml/2006/main" count="64" uniqueCount="44">
  <si>
    <t>Customer ID</t>
  </si>
  <si>
    <t>Gender</t>
  </si>
  <si>
    <t>Tenure</t>
  </si>
  <si>
    <t>Monthly Charges</t>
  </si>
  <si>
    <t>Total Charges</t>
  </si>
  <si>
    <t>Churn</t>
  </si>
  <si>
    <t>C001</t>
  </si>
  <si>
    <t>C002</t>
  </si>
  <si>
    <t>C003</t>
  </si>
  <si>
    <t>C004</t>
  </si>
  <si>
    <t>C005</t>
  </si>
  <si>
    <t>Female</t>
  </si>
  <si>
    <t>No</t>
  </si>
  <si>
    <t>Yes</t>
  </si>
  <si>
    <t>Male</t>
  </si>
  <si>
    <t>C006</t>
  </si>
  <si>
    <t>C007</t>
  </si>
  <si>
    <t>C008</t>
  </si>
  <si>
    <t>C009</t>
  </si>
  <si>
    <t>C010</t>
  </si>
  <si>
    <t>Total Customers</t>
  </si>
  <si>
    <t>Churned Customers</t>
  </si>
  <si>
    <t>Churn Rate</t>
  </si>
  <si>
    <t>Churn Status</t>
  </si>
  <si>
    <t>Stayed</t>
  </si>
  <si>
    <t>Churned</t>
  </si>
  <si>
    <t>Number of Customers</t>
  </si>
  <si>
    <t>Customer Retention &amp; Churn Analysis</t>
  </si>
  <si>
    <t>Key Insights</t>
  </si>
  <si>
    <t>Total Customers: 10</t>
  </si>
  <si>
    <t>churned Customers:4</t>
  </si>
  <si>
    <t>Retained Customers:6</t>
  </si>
  <si>
    <t>Churn Rate:40%</t>
  </si>
  <si>
    <t>Recommendations</t>
  </si>
  <si>
    <t>Identify why customers are leaving</t>
  </si>
  <si>
    <t>Improve service quality to retain customers</t>
  </si>
  <si>
    <t>Offer support to customers with short tenure</t>
  </si>
  <si>
    <t>Tenure group</t>
  </si>
  <si>
    <t>Short</t>
  </si>
  <si>
    <t>Churn by Tenure Group</t>
  </si>
  <si>
    <t>Medium</t>
  </si>
  <si>
    <t>Long</t>
  </si>
  <si>
    <t>Churn Group</t>
  </si>
  <si>
    <t>Total Churned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</si>
</sst>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Retention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Sheet1!$K$1</c:f>
              <c:strCache>
                <c:ptCount val="1"/>
                <c:pt idx="0">
                  <c:v>Number of 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8C-41C1-9B77-EBAEBE9DA0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8C-41C1-9B77-EBAEBE9DA0E1}"/>
              </c:ext>
            </c:extLst>
          </c:dPt>
          <c:cat>
            <c:strRef>
              <c:f>Sheet1!$J$2:$J$3</c:f>
              <c:strCache>
                <c:ptCount val="2"/>
                <c:pt idx="0">
                  <c:v>Stayed</c:v>
                </c:pt>
                <c:pt idx="1">
                  <c:v>Churned</c:v>
                </c:pt>
              </c:strCache>
            </c:strRef>
          </c:cat>
          <c:val>
            <c:numRef>
              <c:f>Sheet1!$K$2:$K$3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C-4F90-B1B1-EF49F29DD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64997434810734"/>
          <c:y val="0.12631623573378042"/>
          <c:w val="0.77276552930883635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Sheet1!$L$1:$L$5</c15:sqref>
                  </c15:fullRef>
                </c:ext>
              </c:extLst>
              <c:f>Sheet1!$L$1:$L$4</c:f>
              <c:strCache>
                <c:ptCount val="4"/>
                <c:pt idx="0">
                  <c:v>Churn Group</c:v>
                </c:pt>
                <c:pt idx="1">
                  <c:v>Short</c:v>
                </c:pt>
                <c:pt idx="2">
                  <c:v>Medium</c:v>
                </c:pt>
                <c:pt idx="3">
                  <c:v>Long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Sheet1!$M$1:$M$5</c15:sqref>
                  </c15:fullRef>
                </c:ext>
              </c:extLst>
              <c:f>Sheet1!$M$1:$M$4</c:f>
              <c:numCache>
                <c:formatCode>General</c:formatCode>
                <c:ptCount val="4"/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B-4641-9055-9521DA7FB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5499919"/>
        <c:axId val="940807439"/>
      </c:barChart>
      <c:catAx>
        <c:axId val="1385499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07439"/>
        <c:crosses val="autoZero"/>
        <c:auto val="1"/>
        <c:lblAlgn val="ctr"/>
        <c:lblOffset val="100"/>
        <c:noMultiLvlLbl val="0"/>
      </c:catAx>
      <c:valAx>
        <c:axId val="94080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9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466725</xdr:colOff>
      <xdr:row>11</xdr:row>
      <xdr:rowOff>85725</xdr:rowOff>
    </xdr:from>
    <xdr:to>
      <xdr:col>17</xdr:col>
      <xdr:colOff>466725</xdr:colOff>
      <xdr:row>24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3EB6B0-6B4A-F2A0-EA70-1E72ADBF4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</xdr:colOff>
      <xdr:row>0</xdr:row>
      <xdr:rowOff>123825</xdr:rowOff>
    </xdr:from>
    <xdr:to>
      <xdr:col>18</xdr:col>
      <xdr:colOff>142874</xdr:colOff>
      <xdr:row>11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0E8EB7-5B65-4D30-14B7-3672D7F99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3A0F-88B4-4FAF-A2A3-B83947470001}">
  <dimension ref="A1:M16"/>
  <sheetViews>
    <sheetView tabSelected="1" topLeftCell="D1" workbookViewId="0">
      <selection activeCell="L8" sqref="L8:M9"/>
    </sheetView>
  </sheetViews>
  <sheetFormatPr defaultRowHeight="15" x14ac:dyDescent="0.25"/>
  <cols>
    <col min="1" max="1" width="11.7109375" bestFit="1" customWidth="1"/>
    <col min="4" max="4" width="16.140625" customWidth="1"/>
    <col min="5" max="5" width="16.42578125" customWidth="1"/>
    <col min="7" max="7" width="12.140625" customWidth="1"/>
    <col min="8" max="8" width="18.140625" customWidth="1"/>
    <col min="9" max="9" width="20.7109375" customWidth="1"/>
    <col min="10" max="10" width="14.7109375" customWidth="1"/>
    <col min="11" max="11" width="19.85546875" customWidth="1"/>
    <col min="12" max="12" width="1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20</v>
      </c>
      <c r="I1" t="s">
        <v>39</v>
      </c>
      <c r="J1" t="s">
        <v>23</v>
      </c>
      <c r="K1" t="s">
        <v>26</v>
      </c>
      <c r="L1" t="s">
        <v>42</v>
      </c>
    </row>
    <row r="2" spans="1:13" x14ac:dyDescent="0.25">
      <c r="A2" t="s">
        <v>6</v>
      </c>
      <c r="B2" t="s">
        <v>11</v>
      </c>
      <c r="C2">
        <v>12</v>
      </c>
      <c r="D2">
        <v>500</v>
      </c>
      <c r="E2">
        <v>6000</v>
      </c>
      <c r="F2" t="s">
        <v>12</v>
      </c>
      <c r="G2" t="str">
        <f>IF(C2&lt;=6,"Short",IF(C2&lt;=12,"Medium","Long"))</f>
        <v>Medium</v>
      </c>
      <c r="H2">
        <f>COUNTA(A2:A11)</f>
        <v>10</v>
      </c>
      <c r="I2" t="s">
        <v>38</v>
      </c>
      <c r="J2" t="s">
        <v>24</v>
      </c>
      <c r="K2">
        <v>6</v>
      </c>
      <c r="L2" t="s">
        <v>38</v>
      </c>
      <c r="M2">
        <f>COUNTIFS($G$2:$G$11,L2,$F$2:$F$11,"Yes")</f>
        <v>4</v>
      </c>
    </row>
    <row r="3" spans="1:13" x14ac:dyDescent="0.25">
      <c r="A3" t="s">
        <v>7</v>
      </c>
      <c r="B3" t="s">
        <v>14</v>
      </c>
      <c r="C3">
        <v>3</v>
      </c>
      <c r="D3">
        <v>800</v>
      </c>
      <c r="E3">
        <v>2400</v>
      </c>
      <c r="F3" t="s">
        <v>13</v>
      </c>
      <c r="G3" t="str">
        <f t="shared" ref="G3:G11" si="0">IF(C3&lt;=6,"Short",IF(C3&lt;=12,"Medium","Long"))</f>
        <v>Short</v>
      </c>
      <c r="H3" t="s">
        <v>21</v>
      </c>
      <c r="I3" t="s">
        <v>40</v>
      </c>
      <c r="J3" t="s">
        <v>25</v>
      </c>
      <c r="K3">
        <v>4</v>
      </c>
      <c r="L3" t="s">
        <v>40</v>
      </c>
      <c r="M3">
        <f>COUNTIFS($G$2:$G$11,L3,$F$2:$F$11,"Yes")</f>
        <v>0</v>
      </c>
    </row>
    <row r="4" spans="1:13" x14ac:dyDescent="0.25">
      <c r="A4" t="s">
        <v>8</v>
      </c>
      <c r="B4" t="s">
        <v>11</v>
      </c>
      <c r="C4">
        <v>24</v>
      </c>
      <c r="D4">
        <v>600</v>
      </c>
      <c r="E4">
        <v>14400</v>
      </c>
      <c r="F4" t="s">
        <v>12</v>
      </c>
      <c r="G4" t="str">
        <f t="shared" si="0"/>
        <v>Long</v>
      </c>
      <c r="H4">
        <v>4</v>
      </c>
      <c r="I4" t="s">
        <v>41</v>
      </c>
      <c r="L4" t="s">
        <v>41</v>
      </c>
      <c r="M4">
        <f>COUNTIFS($G$2:$G$11,L4,$F$2:$F$11,"Yes")</f>
        <v>0</v>
      </c>
    </row>
    <row r="5" spans="1:13" x14ac:dyDescent="0.25">
      <c r="A5" t="s">
        <v>9</v>
      </c>
      <c r="B5" t="s">
        <v>14</v>
      </c>
      <c r="C5">
        <v>6</v>
      </c>
      <c r="D5">
        <v>900</v>
      </c>
      <c r="E5">
        <v>5400</v>
      </c>
      <c r="F5" t="s">
        <v>13</v>
      </c>
      <c r="G5" t="str">
        <f t="shared" si="0"/>
        <v>Short</v>
      </c>
      <c r="H5" t="s">
        <v>22</v>
      </c>
      <c r="I5" t="s">
        <v>38</v>
      </c>
      <c r="J5" s="2" t="s">
        <v>27</v>
      </c>
      <c r="L5" t="s">
        <v>43</v>
      </c>
      <c r="M5">
        <f>SUM(M2:M4)</f>
        <v>4</v>
      </c>
    </row>
    <row r="6" spans="1:13" x14ac:dyDescent="0.25">
      <c r="A6" t="s">
        <v>10</v>
      </c>
      <c r="B6" t="s">
        <v>11</v>
      </c>
      <c r="C6">
        <v>18</v>
      </c>
      <c r="D6">
        <v>700</v>
      </c>
      <c r="E6">
        <v>12600</v>
      </c>
      <c r="F6" t="s">
        <v>12</v>
      </c>
      <c r="G6" t="str">
        <f t="shared" si="0"/>
        <v>Long</v>
      </c>
      <c r="H6" s="1">
        <v>0.4</v>
      </c>
    </row>
    <row r="7" spans="1:13" x14ac:dyDescent="0.25">
      <c r="A7" t="s">
        <v>15</v>
      </c>
      <c r="B7" t="s">
        <v>14</v>
      </c>
      <c r="C7">
        <v>2</v>
      </c>
      <c r="D7">
        <v>1000</v>
      </c>
      <c r="E7">
        <v>2000</v>
      </c>
      <c r="F7" t="s">
        <v>13</v>
      </c>
      <c r="G7" t="str">
        <f t="shared" si="0"/>
        <v>Short</v>
      </c>
      <c r="J7" t="s">
        <v>28</v>
      </c>
    </row>
    <row r="8" spans="1:13" x14ac:dyDescent="0.25">
      <c r="A8" t="s">
        <v>16</v>
      </c>
      <c r="B8" t="s">
        <v>11</v>
      </c>
      <c r="C8">
        <v>36</v>
      </c>
      <c r="D8">
        <v>550</v>
      </c>
      <c r="E8">
        <v>19800</v>
      </c>
      <c r="F8" t="s">
        <v>12</v>
      </c>
      <c r="G8" t="str">
        <f t="shared" si="0"/>
        <v>Long</v>
      </c>
      <c r="J8" t="s">
        <v>29</v>
      </c>
    </row>
    <row r="9" spans="1:13" x14ac:dyDescent="0.25">
      <c r="A9" t="s">
        <v>17</v>
      </c>
      <c r="B9" t="s">
        <v>14</v>
      </c>
      <c r="C9">
        <v>8</v>
      </c>
      <c r="D9">
        <v>750</v>
      </c>
      <c r="E9">
        <v>6000</v>
      </c>
      <c r="F9" t="s">
        <v>12</v>
      </c>
      <c r="G9" t="str">
        <f t="shared" si="0"/>
        <v>Medium</v>
      </c>
      <c r="J9" t="s">
        <v>30</v>
      </c>
    </row>
    <row r="10" spans="1:13" x14ac:dyDescent="0.25">
      <c r="A10" t="s">
        <v>18</v>
      </c>
      <c r="B10" t="s">
        <v>11</v>
      </c>
      <c r="C10">
        <v>4</v>
      </c>
      <c r="D10">
        <v>850</v>
      </c>
      <c r="E10">
        <v>3400</v>
      </c>
      <c r="F10" t="s">
        <v>13</v>
      </c>
      <c r="G10" t="str">
        <f t="shared" si="0"/>
        <v>Short</v>
      </c>
      <c r="J10" t="s">
        <v>31</v>
      </c>
    </row>
    <row r="11" spans="1:13" x14ac:dyDescent="0.25">
      <c r="A11" t="s">
        <v>19</v>
      </c>
      <c r="B11" t="s">
        <v>14</v>
      </c>
      <c r="C11">
        <v>30</v>
      </c>
      <c r="D11">
        <v>650</v>
      </c>
      <c r="E11">
        <v>19500</v>
      </c>
      <c r="F11" t="s">
        <v>12</v>
      </c>
      <c r="G11" t="str">
        <f t="shared" si="0"/>
        <v>Long</v>
      </c>
      <c r="J11" t="s">
        <v>32</v>
      </c>
    </row>
    <row r="13" spans="1:13" x14ac:dyDescent="0.25">
      <c r="J13" t="s">
        <v>33</v>
      </c>
    </row>
    <row r="14" spans="1:13" x14ac:dyDescent="0.25">
      <c r="J14" t="s">
        <v>34</v>
      </c>
    </row>
    <row r="15" spans="1:13" x14ac:dyDescent="0.25">
      <c r="J15" t="s">
        <v>35</v>
      </c>
    </row>
    <row r="16" spans="1:13" x14ac:dyDescent="0.25">
      <c r="J16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M</dc:creator>
  <cp:lastModifiedBy>Rajalakshmi M</cp:lastModifiedBy>
  <dcterms:created xsi:type="dcterms:W3CDTF">2026-10-10T14:31:12Z</dcterms:created>
  <dcterms:modified xsi:type="dcterms:W3CDTF">2026-10-14T01:07:14Z</dcterms:modified>
</cp:coreProperties>
</file>