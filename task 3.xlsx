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b73a0fb8af9b2/Documents/"/>
    </mc:Choice>
  </mc:AlternateContent>
  <xr:revisionPtr revIDLastSave="94" documentId="8_{2406B454-A063-4F48-BDC6-523574889938}" xr6:coauthVersionLast="47" xr6:coauthVersionMax="47" xr10:uidLastSave="{C1DE142F-5B69-41DF-867A-287D3F2444DF}"/>
  <bookViews>
    <workbookView xWindow="-120" yWindow="-120" windowWidth="20730" windowHeight="11040" xr2:uid="{75E0CFCC-10A3-47A1-B3AB-578ED6B77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4" i="1"/>
  <c r="L3" i="1"/>
  <c r="L2" i="1"/>
  <c r="H3" i="1"/>
  <c r="H4" i="1"/>
  <c r="H5" i="1"/>
  <c r="H6" i="1"/>
  <c r="H2" i="1"/>
  <c r="I3" i="1"/>
  <c r="I4" i="1"/>
  <c r="I5" i="1"/>
  <c r="I6" i="1"/>
  <c r="I2" i="1"/>
  <c r="G3" i="1"/>
  <c r="G4" i="1"/>
  <c r="G5" i="1"/>
  <c r="G6" i="1"/>
  <c r="G2" i="1"/>
  <c r="F2" i="1"/>
</calcChain>
</file>

<file path=xl/sharedStrings.xml><?xml version="1.0" encoding="utf-8"?>
<sst xmlns="http://schemas.openxmlformats.org/spreadsheetml/2006/main" count="29" uniqueCount="27">
  <si>
    <t>Channel</t>
  </si>
  <si>
    <t>Leads</t>
  </si>
  <si>
    <t>Sign-ups</t>
  </si>
  <si>
    <t>Purchases</t>
  </si>
  <si>
    <t>Spend</t>
  </si>
  <si>
    <t>Instagram</t>
  </si>
  <si>
    <t>Google Ads</t>
  </si>
  <si>
    <t>Email</t>
  </si>
  <si>
    <t>Youtube</t>
  </si>
  <si>
    <t>Referral</t>
  </si>
  <si>
    <t>Sign-up Conversion</t>
  </si>
  <si>
    <t>Purchase Conversion</t>
  </si>
  <si>
    <t>Overall Conversion</t>
  </si>
  <si>
    <t>Cost per Purchase</t>
  </si>
  <si>
    <t>Funnel stage</t>
  </si>
  <si>
    <t>sign-ups</t>
  </si>
  <si>
    <t>Total</t>
  </si>
  <si>
    <t>Key Insights</t>
  </si>
  <si>
    <t>Total Leads</t>
  </si>
  <si>
    <t>Total Sign-ups</t>
  </si>
  <si>
    <t>Total Purchases</t>
  </si>
  <si>
    <t>Overall Conversion Rate</t>
  </si>
  <si>
    <t>Recommendations</t>
  </si>
  <si>
    <t>Improve sign-up conversion</t>
  </si>
  <si>
    <t>Invest more in effective channels</t>
  </si>
  <si>
    <t>Reduce cost per purchase</t>
  </si>
  <si>
    <t>Improve marketting campaign 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</si>
</sst>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Marketting</a:t>
            </a:r>
            <a:r>
              <a:rPr lang="en-IN" baseline="0"/>
              <a:t> Funnel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Sheet1!$K$2:$K$4</c:f>
              <c:strCache>
                <c:ptCount val="3"/>
                <c:pt idx="0">
                  <c:v>Leads</c:v>
                </c:pt>
                <c:pt idx="1">
                  <c:v>sign-ups</c:v>
                </c:pt>
                <c:pt idx="2">
                  <c:v>Purchases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650</c:v>
                </c:pt>
                <c:pt idx="1">
                  <c:v>299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D-4CD2-A8BB-AA263DB0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796495"/>
        <c:axId val="572977711"/>
      </c:barChart>
      <c:catAx>
        <c:axId val="66479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7711"/>
        <c:crosses val="autoZero"/>
        <c:auto val="1"/>
        <c:lblAlgn val="ctr"/>
        <c:lblOffset val="100"/>
        <c:noMultiLvlLbl val="0"/>
      </c:catAx>
      <c:valAx>
        <c:axId val="57297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Purchases by Marketting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Instagram</c:v>
                </c:pt>
                <c:pt idx="1">
                  <c:v>Google Ads</c:v>
                </c:pt>
                <c:pt idx="2">
                  <c:v>Email</c:v>
                </c:pt>
                <c:pt idx="3">
                  <c:v>Youtube</c:v>
                </c:pt>
                <c:pt idx="4">
                  <c:v>Referral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24</c:v>
                </c:pt>
                <c:pt idx="3">
                  <c:v>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D-4A47-83AD-77A547E8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437839"/>
        <c:axId val="573039631"/>
      </c:barChart>
      <c:catAx>
        <c:axId val="74343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39631"/>
        <c:crosses val="autoZero"/>
        <c:auto val="1"/>
        <c:lblAlgn val="ctr"/>
        <c:lblOffset val="100"/>
        <c:noMultiLvlLbl val="0"/>
      </c:catAx>
      <c:valAx>
        <c:axId val="57303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3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</xdr:rowOff>
    </xdr:from>
    <xdr:to>
      <xdr:col>5</xdr:col>
      <xdr:colOff>333375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DE960-34CC-C088-D3DE-2E26AD7F0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6</xdr:row>
      <xdr:rowOff>38100</xdr:rowOff>
    </xdr:from>
    <xdr:to>
      <xdr:col>8</xdr:col>
      <xdr:colOff>619124</xdr:colOff>
      <xdr:row>19</xdr:row>
      <xdr:rowOff>42861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BAD16-D48F-99BA-AFBC-6BA34B6A2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22FE-474E-4CF5-9EA4-832128DDABBA}">
  <dimension ref="A1:L17"/>
  <sheetViews>
    <sheetView tabSelected="1" workbookViewId="0">
      <selection activeCell="J13" sqref="J13"/>
    </sheetView>
  </sheetViews>
  <sheetFormatPr defaultRowHeight="15" x14ac:dyDescent="0.25"/>
  <cols>
    <col min="1" max="1" width="10.42578125" customWidth="1"/>
    <col min="4" max="4" width="10.140625" customWidth="1"/>
    <col min="6" max="6" width="18.140625" customWidth="1"/>
    <col min="7" max="7" width="19.140625" customWidth="1"/>
    <col min="8" max="8" width="18.7109375" customWidth="1"/>
    <col min="9" max="9" width="17.28515625" customWidth="1"/>
    <col min="11" max="11" width="1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13</v>
      </c>
      <c r="I1" t="s">
        <v>12</v>
      </c>
      <c r="K1" t="s">
        <v>14</v>
      </c>
      <c r="L1" t="s">
        <v>16</v>
      </c>
    </row>
    <row r="2" spans="1:12" x14ac:dyDescent="0.25">
      <c r="A2" t="s">
        <v>5</v>
      </c>
      <c r="B2">
        <v>200</v>
      </c>
      <c r="C2">
        <v>80</v>
      </c>
      <c r="D2">
        <v>20</v>
      </c>
      <c r="E2">
        <v>4000</v>
      </c>
      <c r="F2">
        <f>C2/B2*100</f>
        <v>40</v>
      </c>
      <c r="G2">
        <f>D2/C2*100</f>
        <v>25</v>
      </c>
      <c r="H2">
        <f>E2/D2</f>
        <v>200</v>
      </c>
      <c r="I2">
        <f>D2/B2*100</f>
        <v>10</v>
      </c>
      <c r="K2" t="s">
        <v>1</v>
      </c>
      <c r="L2">
        <f>SUM(B2:B6)</f>
        <v>650</v>
      </c>
    </row>
    <row r="3" spans="1:12" x14ac:dyDescent="0.25">
      <c r="A3" t="s">
        <v>6</v>
      </c>
      <c r="B3">
        <v>150</v>
      </c>
      <c r="C3">
        <v>75</v>
      </c>
      <c r="D3">
        <v>30</v>
      </c>
      <c r="E3">
        <v>6000</v>
      </c>
      <c r="G3">
        <f t="shared" ref="G3:G6" si="0">D3/C3*100</f>
        <v>40</v>
      </c>
      <c r="H3">
        <f t="shared" ref="H3:H6" si="1">E3/D3</f>
        <v>200</v>
      </c>
      <c r="I3">
        <f t="shared" ref="I3:I6" si="2">D3/B3*100</f>
        <v>20</v>
      </c>
      <c r="K3" t="s">
        <v>15</v>
      </c>
      <c r="L3">
        <f>SUM(C2:C6)</f>
        <v>299</v>
      </c>
    </row>
    <row r="4" spans="1:12" x14ac:dyDescent="0.25">
      <c r="A4" t="s">
        <v>7</v>
      </c>
      <c r="B4">
        <v>100</v>
      </c>
      <c r="C4">
        <v>60</v>
      </c>
      <c r="D4">
        <v>24</v>
      </c>
      <c r="E4">
        <v>1000</v>
      </c>
      <c r="G4">
        <f t="shared" si="0"/>
        <v>40</v>
      </c>
      <c r="H4">
        <f t="shared" si="1"/>
        <v>41.666666666666664</v>
      </c>
      <c r="I4">
        <f t="shared" si="2"/>
        <v>24</v>
      </c>
      <c r="K4" t="s">
        <v>3</v>
      </c>
      <c r="L4">
        <f>SUM(D2:D6)</f>
        <v>107</v>
      </c>
    </row>
    <row r="5" spans="1:12" x14ac:dyDescent="0.25">
      <c r="A5" t="s">
        <v>8</v>
      </c>
      <c r="B5">
        <v>120</v>
      </c>
      <c r="C5">
        <v>36</v>
      </c>
      <c r="D5">
        <v>9</v>
      </c>
      <c r="E5">
        <v>3000</v>
      </c>
      <c r="G5">
        <f t="shared" si="0"/>
        <v>25</v>
      </c>
      <c r="H5">
        <f t="shared" si="1"/>
        <v>333.33333333333331</v>
      </c>
      <c r="I5">
        <f t="shared" si="2"/>
        <v>7.5</v>
      </c>
    </row>
    <row r="6" spans="1:12" x14ac:dyDescent="0.25">
      <c r="A6" t="s">
        <v>9</v>
      </c>
      <c r="B6">
        <v>80</v>
      </c>
      <c r="C6">
        <v>48</v>
      </c>
      <c r="D6">
        <v>24</v>
      </c>
      <c r="E6">
        <v>500</v>
      </c>
      <c r="G6">
        <f t="shared" si="0"/>
        <v>50</v>
      </c>
      <c r="H6">
        <f t="shared" si="1"/>
        <v>20.833333333333332</v>
      </c>
      <c r="I6">
        <f t="shared" si="2"/>
        <v>30</v>
      </c>
    </row>
    <row r="7" spans="1:12" x14ac:dyDescent="0.25">
      <c r="K7" t="s">
        <v>17</v>
      </c>
    </row>
    <row r="8" spans="1:12" x14ac:dyDescent="0.25">
      <c r="K8" t="s">
        <v>18</v>
      </c>
      <c r="L8">
        <f>L2</f>
        <v>650</v>
      </c>
    </row>
    <row r="9" spans="1:12" x14ac:dyDescent="0.25">
      <c r="K9" t="s">
        <v>19</v>
      </c>
      <c r="L9">
        <f>L3</f>
        <v>299</v>
      </c>
    </row>
    <row r="10" spans="1:12" x14ac:dyDescent="0.25">
      <c r="K10" t="s">
        <v>20</v>
      </c>
      <c r="L10">
        <f>L4</f>
        <v>107</v>
      </c>
    </row>
    <row r="11" spans="1:12" x14ac:dyDescent="0.25">
      <c r="K11" t="s">
        <v>21</v>
      </c>
      <c r="L11">
        <f>L4/L2*100</f>
        <v>16.46153846153846</v>
      </c>
    </row>
    <row r="13" spans="1:12" x14ac:dyDescent="0.25">
      <c r="K13" t="s">
        <v>22</v>
      </c>
    </row>
    <row r="14" spans="1:12" x14ac:dyDescent="0.25">
      <c r="K14" t="s">
        <v>23</v>
      </c>
    </row>
    <row r="15" spans="1:12" x14ac:dyDescent="0.25">
      <c r="K15" t="s">
        <v>24</v>
      </c>
    </row>
    <row r="16" spans="1:12" x14ac:dyDescent="0.25">
      <c r="K16" t="s">
        <v>25</v>
      </c>
    </row>
    <row r="17" spans="11:11" x14ac:dyDescent="0.25">
      <c r="K17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M</dc:creator>
  <cp:lastModifiedBy>Rajalakshmi M</cp:lastModifiedBy>
  <dcterms:created xsi:type="dcterms:W3CDTF">2026-10-14T01:19:06Z</dcterms:created>
  <dcterms:modified xsi:type="dcterms:W3CDTF">2026-10-14T13:00:38Z</dcterms:modified>
</cp:coreProperties>
</file>